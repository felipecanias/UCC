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im\Downloads\"/>
    </mc:Choice>
  </mc:AlternateContent>
  <xr:revisionPtr revIDLastSave="0" documentId="13_ncr:1_{A617397C-B1C6-40F8-A4FD-F8656B015ED2}" xr6:coauthVersionLast="47" xr6:coauthVersionMax="47" xr10:uidLastSave="{00000000-0000-0000-0000-000000000000}"/>
  <bookViews>
    <workbookView xWindow="-120" yWindow="-120" windowWidth="29040" windowHeight="15840" activeTab="1" xr2:uid="{F3077B50-8ED5-44D2-ABEF-803A112A758E}"/>
  </bookViews>
  <sheets>
    <sheet name="Bisección" sheetId="5" r:id="rId1"/>
    <sheet name="Punto Fijo" sheetId="6" r:id="rId2"/>
    <sheet name="Newton-Raphson" sheetId="3" r:id="rId3"/>
    <sheet name="Secante" sheetId="4" r:id="rId4"/>
    <sheet name="Interpolación de Lagrange" sheetId="1" r:id="rId5"/>
    <sheet name="Mínimos Cuadrados" sheetId="2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5" l="1"/>
  <c r="E3" i="5"/>
  <c r="C4" i="5" s="1"/>
  <c r="H6" i="4"/>
  <c r="E5" i="4"/>
  <c r="E6" i="4"/>
  <c r="E7" i="4"/>
  <c r="E8" i="4"/>
  <c r="E9" i="4"/>
  <c r="E10" i="4"/>
  <c r="E11" i="4"/>
  <c r="E4" i="4"/>
  <c r="D5" i="4"/>
  <c r="C6" i="4" s="1"/>
  <c r="C5" i="4"/>
  <c r="D4" i="4"/>
  <c r="D3" i="4"/>
  <c r="C3" i="3"/>
  <c r="D3" i="3"/>
  <c r="E3" i="3"/>
  <c r="B13" i="2" a="1"/>
  <c r="B13" i="2" s="1"/>
  <c r="E10" i="1"/>
  <c r="E11" i="1"/>
  <c r="E12" i="1"/>
  <c r="E9" i="1"/>
  <c r="E6" i="1"/>
  <c r="E7" i="1"/>
  <c r="E5" i="1"/>
  <c r="E3" i="1"/>
  <c r="E2" i="1"/>
  <c r="J10" i="1"/>
  <c r="J11" i="1"/>
  <c r="J12" i="1"/>
  <c r="J9" i="1"/>
  <c r="J6" i="1"/>
  <c r="J7" i="1"/>
  <c r="J5" i="1"/>
  <c r="J3" i="1"/>
  <c r="J2" i="1"/>
  <c r="F2" i="1"/>
  <c r="F10" i="1"/>
  <c r="F11" i="1"/>
  <c r="H11" i="1" s="1"/>
  <c r="F12" i="1"/>
  <c r="H12" i="1" s="1"/>
  <c r="F6" i="1"/>
  <c r="F7" i="1"/>
  <c r="F3" i="1"/>
  <c r="F9" i="1"/>
  <c r="F5" i="1"/>
  <c r="B4" i="5" l="1"/>
  <c r="D4" i="5"/>
  <c r="H4" i="4"/>
  <c r="D6" i="4"/>
  <c r="C7" i="4" s="1"/>
  <c r="B4" i="3"/>
  <c r="L2" i="1" a="1"/>
  <c r="L2" i="1" s="1"/>
  <c r="G9" i="1"/>
  <c r="L9" i="1" s="1" a="1"/>
  <c r="L9" i="1" s="1"/>
  <c r="G5" i="1"/>
  <c r="L5" i="1" s="1" a="1"/>
  <c r="L5" i="1" s="1"/>
  <c r="H9" i="1"/>
  <c r="H10" i="1"/>
  <c r="G12" i="1"/>
  <c r="G7" i="1"/>
  <c r="G10" i="1"/>
  <c r="G11" i="1"/>
  <c r="G6" i="1"/>
  <c r="E4" i="5" l="1"/>
  <c r="D7" i="4"/>
  <c r="C8" i="4" s="1"/>
  <c r="D4" i="3"/>
  <c r="C4" i="3"/>
  <c r="E4" i="3" s="1"/>
  <c r="C9" i="1" a="1"/>
  <c r="C9" i="1" s="1"/>
  <c r="B5" i="5" l="1"/>
  <c r="C5" i="5"/>
  <c r="D8" i="4"/>
  <c r="C9" i="4" s="1"/>
  <c r="B5" i="3"/>
  <c r="D5" i="3" s="1"/>
  <c r="D5" i="5" l="1"/>
  <c r="D9" i="4"/>
  <c r="C10" i="4" s="1"/>
  <c r="C5" i="3"/>
  <c r="E5" i="3" s="1"/>
  <c r="F4" i="5" l="1"/>
  <c r="E5" i="5"/>
  <c r="D10" i="4"/>
  <c r="C11" i="4" s="1"/>
  <c r="B6" i="3"/>
  <c r="D6" i="3" s="1"/>
  <c r="C6" i="3"/>
  <c r="B6" i="5" l="1"/>
  <c r="C6" i="5"/>
  <c r="D11" i="4"/>
  <c r="B7" i="3"/>
  <c r="D7" i="3" s="1"/>
  <c r="E6" i="3"/>
  <c r="D6" i="5" l="1"/>
  <c r="C7" i="3"/>
  <c r="E7" i="3" s="1"/>
  <c r="F5" i="5" l="1"/>
  <c r="E6" i="5"/>
  <c r="B8" i="3"/>
  <c r="D8" i="3" s="1"/>
  <c r="C8" i="3"/>
  <c r="E8" i="3" s="1"/>
  <c r="B7" i="5" l="1"/>
  <c r="C7" i="5"/>
  <c r="B9" i="3"/>
  <c r="D9" i="3" s="1"/>
  <c r="D7" i="5" l="1"/>
  <c r="C9" i="3"/>
  <c r="B10" i="3" s="1"/>
  <c r="D10" i="3" s="1"/>
  <c r="E7" i="5" l="1"/>
  <c r="F6" i="5"/>
  <c r="E9" i="3"/>
  <c r="C10" i="3"/>
  <c r="B11" i="3" s="1"/>
  <c r="D11" i="3" s="1"/>
  <c r="B8" i="5" l="1"/>
  <c r="C8" i="5"/>
  <c r="E10" i="3"/>
  <c r="C11" i="3"/>
  <c r="B12" i="3" s="1"/>
  <c r="D12" i="3" s="1"/>
  <c r="D8" i="5" l="1"/>
  <c r="E8" i="5"/>
  <c r="F7" i="5"/>
  <c r="E11" i="3"/>
  <c r="C12" i="3"/>
  <c r="B13" i="3" s="1"/>
  <c r="D13" i="3" s="1"/>
  <c r="C9" i="5" l="1"/>
  <c r="B9" i="5"/>
  <c r="D9" i="5" s="1"/>
  <c r="E12" i="3"/>
  <c r="C13" i="3"/>
  <c r="E13" i="3" s="1"/>
  <c r="E9" i="5" l="1"/>
  <c r="F8" i="5"/>
  <c r="B14" i="3"/>
  <c r="D14" i="3" s="1"/>
  <c r="C14" i="3"/>
  <c r="B15" i="3" s="1"/>
  <c r="D15" i="3" s="1"/>
  <c r="B10" i="5" l="1"/>
  <c r="D10" i="5" s="1"/>
  <c r="C10" i="5"/>
  <c r="C15" i="3"/>
  <c r="E14" i="3"/>
  <c r="E10" i="5" l="1"/>
  <c r="F9" i="5"/>
  <c r="B16" i="3"/>
  <c r="D16" i="3" s="1"/>
  <c r="E15" i="3"/>
  <c r="C11" i="5" l="1"/>
  <c r="B11" i="5"/>
  <c r="C16" i="3"/>
  <c r="B17" i="3" s="1"/>
  <c r="D17" i="3" s="1"/>
  <c r="D11" i="5" l="1"/>
  <c r="E11" i="5" s="1"/>
  <c r="F10" i="5"/>
  <c r="E16" i="3"/>
  <c r="C17" i="3"/>
  <c r="H6" i="3" s="1"/>
  <c r="B12" i="5" l="1"/>
  <c r="C12" i="5"/>
  <c r="E17" i="3"/>
  <c r="H4" i="3" s="1"/>
  <c r="D12" i="5" l="1"/>
  <c r="E12" i="5" l="1"/>
  <c r="F11" i="5"/>
  <c r="B13" i="5" l="1"/>
  <c r="C13" i="5"/>
  <c r="D13" i="5" l="1"/>
  <c r="E13" i="5" l="1"/>
  <c r="F12" i="5"/>
  <c r="B14" i="5" l="1"/>
  <c r="C14" i="5"/>
  <c r="D14" i="5" l="1"/>
  <c r="E14" i="5" l="1"/>
  <c r="F13" i="5"/>
  <c r="B15" i="5" l="1"/>
  <c r="C15" i="5"/>
  <c r="D15" i="5" l="1"/>
  <c r="E15" i="5" l="1"/>
  <c r="F14" i="5"/>
  <c r="B16" i="5" l="1"/>
  <c r="C16" i="5"/>
  <c r="D16" i="5" l="1"/>
  <c r="E16" i="5" l="1"/>
  <c r="F15" i="5"/>
  <c r="C17" i="5" l="1"/>
  <c r="B17" i="5"/>
  <c r="D17" i="5" s="1"/>
  <c r="E17" i="5" l="1"/>
  <c r="F16" i="5"/>
  <c r="B18" i="5" l="1"/>
  <c r="C18" i="5"/>
  <c r="D18" i="5" l="1"/>
  <c r="E18" i="5" l="1"/>
  <c r="F17" i="5"/>
  <c r="B19" i="5" l="1"/>
  <c r="C19" i="5"/>
  <c r="D19" i="5" l="1"/>
  <c r="E19" i="5" l="1"/>
  <c r="F18" i="5"/>
  <c r="C20" i="5" l="1"/>
  <c r="B20" i="5"/>
  <c r="D20" i="5" s="1"/>
  <c r="E20" i="5" l="1"/>
  <c r="F19" i="5"/>
  <c r="C21" i="5" l="1"/>
  <c r="B21" i="5"/>
  <c r="D21" i="5" s="1"/>
  <c r="E21" i="5" l="1"/>
  <c r="F21" i="5"/>
  <c r="F2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<sst xmlns="http://schemas.openxmlformats.org/spreadsheetml/2006/main" count="40" uniqueCount="28">
  <si>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</si>
  <si>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X</t>
  </si>
  <si>
    <t>Y</t>
  </si>
  <si>
    <t>RESULTADOS</t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</si>
  <si>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0</t>
    </r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</si>
  <si>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</si>
  <si>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</si>
  <si>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</si>
  <si>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t>A</t>
  </si>
  <si>
    <t>B</t>
  </si>
  <si>
    <t>MATRICES DE X</t>
  </si>
  <si>
    <t>INVERSAS</t>
  </si>
  <si>
    <t xml:space="preserve">TOLERANCIA </t>
  </si>
  <si>
    <t>f(x)</t>
  </si>
  <si>
    <t>f'(x)</t>
  </si>
  <si>
    <t>x</t>
  </si>
  <si>
    <t>ε</t>
  </si>
  <si>
    <t>LOGRADO?</t>
  </si>
  <si>
    <t>N° ITERACIONES</t>
  </si>
  <si>
    <r>
      <t>x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</si>
  <si>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b/>
        <i/>
        <vertAlign val="subscript"/>
        <sz val="11"/>
        <color theme="1"/>
        <rFont val="Calibri"/>
        <family val="2"/>
        <scheme val="minor"/>
      </rPr>
      <t>0</t>
    </r>
  </si>
  <si>
    <t>-</t>
  </si>
  <si>
    <t>Middle</t>
  </si>
  <si>
    <t>f(Middle)</t>
  </si>
  <si>
    <r>
      <t>L</t>
    </r>
    <r>
      <rPr>
        <b/>
        <i/>
        <vertAlign val="subscript"/>
        <sz val="11"/>
        <color theme="1"/>
        <rFont val="Calibri"/>
        <family val="2"/>
        <scheme val="minor"/>
      </rPr>
      <t>I</t>
    </r>
  </si>
  <si>
    <r>
      <t>L</t>
    </r>
    <r>
      <rPr>
        <b/>
        <i/>
        <vertAlign val="subscript"/>
        <sz val="11"/>
        <color theme="1"/>
        <rFont val="Calibri"/>
        <family val="2"/>
        <scheme val="minor"/>
      </rPr>
      <t>S</t>
    </r>
  </si>
  <si>
    <r>
      <t>X</t>
    </r>
    <r>
      <rPr>
        <b/>
        <i/>
        <vertAlign val="subscript"/>
        <sz val="11"/>
        <color theme="1"/>
        <rFont val="Calibri"/>
        <family val="2"/>
        <scheme val="minor"/>
      </rPr>
      <t>i</t>
    </r>
  </si>
  <si>
    <r>
      <t>g(X</t>
    </r>
    <r>
      <rPr>
        <b/>
        <i/>
        <vertAlign val="subscript"/>
        <sz val="11"/>
        <color theme="1"/>
        <rFont val="Calibri"/>
        <family val="2"/>
        <scheme val="minor"/>
      </rPr>
      <t>i</t>
    </r>
    <r>
      <rPr>
        <b/>
        <i/>
        <sz val="11"/>
        <color theme="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</si>
</sst>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0" xfId="0" applyFont="1"/>
    <xf numFmtId="0" fontId="4" fillId="0" borderId="1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on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0" fontId="0" fillId="0" borderId="13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Dispersión de Mínimos Cuadrados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'Mínimos Cuadrados'!$C$2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'Mínimos Cuadrados'!$B$3:$B$10</c:f>
              <c:numCache>
                <c:formatCode>General</c:formatCode>
                <c:ptCount val="8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9</c:v>
                </c:pt>
                <c:pt idx="7">
                  <c:v>1</c:v>
                </c:pt>
              </c:numCache>
            </c:numRef>
          </c:xVal>
          <c:yVal>
            <c:numRef>
              <c:f>'Mínimos Cuadrados'!$C$3:$C$10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4.5</c:v>
                </c:pt>
                <c:pt idx="3">
                  <c:v>6</c:v>
                </c:pt>
                <c:pt idx="4">
                  <c:v>7</c:v>
                </c:pt>
                <c:pt idx="5">
                  <c:v>12</c:v>
                </c:pt>
                <c:pt idx="6">
                  <c:v>10</c:v>
                </c:pt>
                <c:pt idx="7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9-417B-A21A-B0DCAAB8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27695"/>
        <c:axId val="275025615"/>
      </c:scatterChart>
      <c:valAx>
        <c:axId val="275027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025615"/>
        <c:crosses val="autoZero"/>
        <c:crossBetween val="midCat"/>
      </c:valAx>
      <c:valAx>
        <c:axId val="2750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02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14</xdr:row>
          <xdr:rowOff>0</xdr:rowOff>
        </xdr:from>
        <xdr:to>
          <xdr:col>2</xdr:col>
          <xdr:colOff>447675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4761</xdr:rowOff>
    </xdr:from>
    <xdr:to>
      <xdr:col>12</xdr:col>
      <xdr:colOff>361950</xdr:colOff>
      <xdr:row>22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91294-6685-4D6C-AEEF-D3F2B147B5D9}">
  <dimension ref="B1:F21"/>
  <sheetViews>
    <sheetView zoomScale="130" zoomScaleNormal="130" workbookViewId="0">
      <selection activeCell="H6" sqref="H6"/>
    </sheetView>
  </sheetViews>
  <sheetFormatPr defaultRowHeight="15" x14ac:dyDescent="0.25"/>
  <cols>
    <col min="2" max="2" width="9.140625" customWidth="1"/>
    <col min="4" max="4" width="9.140625" customWidth="1"/>
    <col min="5" max="5" width="13.7109375" bestFit="1" customWidth="1"/>
  </cols>
  <sheetData>
    <row r="1" spans="2:6" ht="15.75" thickBot="1" x14ac:dyDescent="0.3"/>
    <row r="2" spans="2:6" ht="18.75" thickBot="1" x14ac:dyDescent="0.4">
      <c r="B2" s="44" t="s">
        <v>24</v>
      </c>
      <c r="C2" s="44" t="s">
        <v>25</v>
      </c>
      <c r="D2" s="44" t="s">
        <v>22</v>
      </c>
      <c r="E2" s="38" t="s">
        <v>23</v>
      </c>
      <c r="F2" s="44" t="s">
        <v>16</v>
      </c>
    </row>
    <row r="3" spans="2:6" x14ac:dyDescent="0.25">
      <c r="B3" s="41">
        <v>1</v>
      </c>
      <c r="C3" s="41">
        <v>2</v>
      </c>
      <c r="D3" s="41">
        <f>(B3+C3)/2</f>
        <v>1.5</v>
      </c>
      <c r="E3" s="41">
        <f>D3^3-6</f>
        <v>-2.625</v>
      </c>
      <c r="F3" s="41" t="s">
        <v>21</v>
      </c>
    </row>
    <row r="4" spans="2:6" x14ac:dyDescent="0.25">
      <c r="B4" s="42">
        <f>IF(E3&gt;0,B3,D3)</f>
        <v>1.5</v>
      </c>
      <c r="C4" s="42">
        <f>IF(E3&gt;0,D3,C3)</f>
        <v>2</v>
      </c>
      <c r="D4" s="42">
        <f>(B4+C4)/2</f>
        <v>1.75</v>
      </c>
      <c r="E4" s="42">
        <f>D4^3-6</f>
        <v>-0.640625</v>
      </c>
      <c r="F4" s="42">
        <f>ABS(D4-D5)</f>
        <v>0.125</v>
      </c>
    </row>
    <row r="5" spans="2:6" x14ac:dyDescent="0.25">
      <c r="B5" s="42">
        <f t="shared" ref="B5:B11" si="0">IF(E4&gt;0,B4,D4)</f>
        <v>1.75</v>
      </c>
      <c r="C5" s="42">
        <f t="shared" ref="C5:C11" si="1">IF(E4&gt;0,D4,C4)</f>
        <v>2</v>
      </c>
      <c r="D5" s="42">
        <f t="shared" ref="D5:D11" si="2">(B5+C5)/2</f>
        <v>1.875</v>
      </c>
      <c r="E5" s="42">
        <f t="shared" ref="E5:E21" si="3">D5^3-6</f>
        <v>0.591796875</v>
      </c>
      <c r="F5" s="42">
        <f t="shared" ref="F5:F21" si="4">ABS(D5-D6)</f>
        <v>6.25E-2</v>
      </c>
    </row>
    <row r="6" spans="2:6" x14ac:dyDescent="0.25">
      <c r="B6" s="42">
        <f t="shared" si="0"/>
        <v>1.75</v>
      </c>
      <c r="C6" s="42">
        <f t="shared" si="1"/>
        <v>1.875</v>
      </c>
      <c r="D6" s="42">
        <f t="shared" si="2"/>
        <v>1.8125</v>
      </c>
      <c r="E6" s="42">
        <f t="shared" si="3"/>
        <v>-4.5654296875E-2</v>
      </c>
      <c r="F6" s="42">
        <f t="shared" si="4"/>
        <v>3.125E-2</v>
      </c>
    </row>
    <row r="7" spans="2:6" x14ac:dyDescent="0.25">
      <c r="B7" s="42">
        <f t="shared" si="0"/>
        <v>1.8125</v>
      </c>
      <c r="C7" s="42">
        <f t="shared" si="1"/>
        <v>1.875</v>
      </c>
      <c r="D7" s="42">
        <f t="shared" si="2"/>
        <v>1.84375</v>
      </c>
      <c r="E7" s="42">
        <f t="shared" si="3"/>
        <v>0.267669677734375</v>
      </c>
      <c r="F7" s="42">
        <f t="shared" si="4"/>
        <v>1.5625E-2</v>
      </c>
    </row>
    <row r="8" spans="2:6" x14ac:dyDescent="0.25">
      <c r="B8" s="42">
        <f t="shared" si="0"/>
        <v>1.8125</v>
      </c>
      <c r="C8" s="42">
        <f t="shared" si="1"/>
        <v>1.84375</v>
      </c>
      <c r="D8" s="42">
        <f t="shared" si="2"/>
        <v>1.828125</v>
      </c>
      <c r="E8" s="42">
        <f t="shared" si="3"/>
        <v>0.10966873168945313</v>
      </c>
      <c r="F8" s="42">
        <f t="shared" si="4"/>
        <v>7.8125E-3</v>
      </c>
    </row>
    <row r="9" spans="2:6" x14ac:dyDescent="0.25">
      <c r="B9" s="42">
        <f t="shared" si="0"/>
        <v>1.8125</v>
      </c>
      <c r="C9" s="42">
        <f t="shared" si="1"/>
        <v>1.828125</v>
      </c>
      <c r="D9" s="42">
        <f t="shared" si="2"/>
        <v>1.8203125</v>
      </c>
      <c r="E9" s="42">
        <f t="shared" si="3"/>
        <v>3.1673908233642578E-2</v>
      </c>
      <c r="F9" s="42">
        <f t="shared" si="4"/>
        <v>3.90625E-3</v>
      </c>
    </row>
    <row r="10" spans="2:6" x14ac:dyDescent="0.25">
      <c r="B10" s="42">
        <f t="shared" si="0"/>
        <v>1.8125</v>
      </c>
      <c r="C10" s="42">
        <f t="shared" si="1"/>
        <v>1.8203125</v>
      </c>
      <c r="D10" s="42">
        <f t="shared" si="2"/>
        <v>1.81640625</v>
      </c>
      <c r="E10" s="42">
        <f t="shared" si="3"/>
        <v>-7.0733428001403809E-3</v>
      </c>
      <c r="F10" s="42">
        <f t="shared" si="4"/>
        <v>1.953125E-3</v>
      </c>
    </row>
    <row r="11" spans="2:6" x14ac:dyDescent="0.25">
      <c r="B11" s="42">
        <f t="shared" si="0"/>
        <v>1.81640625</v>
      </c>
      <c r="C11" s="42">
        <f t="shared" si="1"/>
        <v>1.8203125</v>
      </c>
      <c r="D11" s="42">
        <f t="shared" si="2"/>
        <v>1.818359375</v>
      </c>
      <c r="E11" s="42">
        <f t="shared" si="3"/>
        <v>1.227947324514389E-2</v>
      </c>
      <c r="F11" s="42">
        <f t="shared" si="4"/>
        <v>9.765625E-4</v>
      </c>
    </row>
    <row r="12" spans="2:6" x14ac:dyDescent="0.25">
      <c r="B12" s="42">
        <f t="shared" ref="B12:B19" si="5">IF(E11&gt;0,B11,D11)</f>
        <v>1.81640625</v>
      </c>
      <c r="C12" s="42">
        <f t="shared" ref="C12:C19" si="6">IF(E11&gt;0,D11,C11)</f>
        <v>1.818359375</v>
      </c>
      <c r="D12" s="42">
        <f t="shared" ref="D12:D19" si="7">(B12+C12)/2</f>
        <v>1.8173828125</v>
      </c>
      <c r="E12" s="42">
        <f t="shared" si="3"/>
        <v>2.5978656485676765E-3</v>
      </c>
      <c r="F12" s="42">
        <f t="shared" si="4"/>
        <v>4.8828125E-4</v>
      </c>
    </row>
    <row r="13" spans="2:6" x14ac:dyDescent="0.25">
      <c r="B13" s="42">
        <f t="shared" si="5"/>
        <v>1.81640625</v>
      </c>
      <c r="C13" s="42">
        <f t="shared" si="6"/>
        <v>1.8173828125</v>
      </c>
      <c r="D13" s="42">
        <f t="shared" si="7"/>
        <v>1.81689453125</v>
      </c>
      <c r="E13" s="42">
        <f t="shared" si="3"/>
        <v>-2.2390381200239062E-3</v>
      </c>
      <c r="F13" s="42">
        <f t="shared" si="4"/>
        <v>2.44140625E-4</v>
      </c>
    </row>
    <row r="14" spans="2:6" x14ac:dyDescent="0.25">
      <c r="B14" s="42">
        <f t="shared" si="5"/>
        <v>1.81689453125</v>
      </c>
      <c r="C14" s="42">
        <f t="shared" si="6"/>
        <v>1.8173828125</v>
      </c>
      <c r="D14" s="42">
        <f t="shared" si="7"/>
        <v>1.817138671875</v>
      </c>
      <c r="E14" s="42">
        <f t="shared" si="3"/>
        <v>1.7908883455675095E-4</v>
      </c>
      <c r="F14" s="42">
        <f t="shared" si="4"/>
        <v>1.220703125E-4</v>
      </c>
    </row>
    <row r="15" spans="2:6" x14ac:dyDescent="0.25">
      <c r="B15" s="42">
        <f t="shared" si="5"/>
        <v>1.81689453125</v>
      </c>
      <c r="C15" s="42">
        <f t="shared" si="6"/>
        <v>1.817138671875</v>
      </c>
      <c r="D15" s="42">
        <f t="shared" si="7"/>
        <v>1.8170166015625</v>
      </c>
      <c r="E15" s="42">
        <f t="shared" si="3"/>
        <v>-1.030055869705393E-3</v>
      </c>
      <c r="F15" s="42">
        <f t="shared" si="4"/>
        <v>6.103515625E-5</v>
      </c>
    </row>
    <row r="16" spans="2:6" x14ac:dyDescent="0.25">
      <c r="B16" s="42">
        <f t="shared" si="5"/>
        <v>1.8170166015625</v>
      </c>
      <c r="C16" s="42">
        <f t="shared" si="6"/>
        <v>1.817138671875</v>
      </c>
      <c r="D16" s="42">
        <f t="shared" si="7"/>
        <v>1.81707763671875</v>
      </c>
      <c r="E16" s="42">
        <f t="shared" si="3"/>
        <v>-4.2550382499939587E-4</v>
      </c>
      <c r="F16" s="42">
        <f t="shared" si="4"/>
        <v>3.0517578125E-5</v>
      </c>
    </row>
    <row r="17" spans="2:6" x14ac:dyDescent="0.25">
      <c r="B17" s="42">
        <f t="shared" si="5"/>
        <v>1.81707763671875</v>
      </c>
      <c r="C17" s="42">
        <f t="shared" si="6"/>
        <v>1.817138671875</v>
      </c>
      <c r="D17" s="42">
        <f t="shared" si="7"/>
        <v>1.817108154296875</v>
      </c>
      <c r="E17" s="42">
        <f t="shared" si="3"/>
        <v>-1.232125721628563E-4</v>
      </c>
      <c r="F17" s="42">
        <f t="shared" si="4"/>
        <v>1.52587890625E-5</v>
      </c>
    </row>
    <row r="18" spans="2:6" x14ac:dyDescent="0.25">
      <c r="B18" s="42">
        <f t="shared" si="5"/>
        <v>1.817108154296875</v>
      </c>
      <c r="C18" s="42">
        <f t="shared" si="6"/>
        <v>1.817138671875</v>
      </c>
      <c r="D18" s="42">
        <f t="shared" si="7"/>
        <v>1.8171234130859375</v>
      </c>
      <c r="E18" s="42">
        <f t="shared" si="3"/>
        <v>2.7936861950905723E-5</v>
      </c>
      <c r="F18" s="42">
        <f t="shared" si="4"/>
        <v>7.62939453125E-6</v>
      </c>
    </row>
    <row r="19" spans="2:6" x14ac:dyDescent="0.25">
      <c r="B19" s="42">
        <f t="shared" si="5"/>
        <v>1.817108154296875</v>
      </c>
      <c r="C19" s="42">
        <f t="shared" si="6"/>
        <v>1.8171234130859375</v>
      </c>
      <c r="D19" s="42">
        <f t="shared" si="7"/>
        <v>1.8171157836914063</v>
      </c>
      <c r="E19" s="42">
        <f t="shared" si="3"/>
        <v>-4.7638172416597513E-5</v>
      </c>
      <c r="F19" s="42">
        <f t="shared" si="4"/>
        <v>3.814697265625E-6</v>
      </c>
    </row>
    <row r="20" spans="2:6" x14ac:dyDescent="0.25">
      <c r="B20" s="42">
        <f t="shared" ref="B20:B21" si="8">IF(E19&gt;0,B19,D19)</f>
        <v>1.8171157836914063</v>
      </c>
      <c r="C20" s="42">
        <f t="shared" ref="C20:C21" si="9">IF(E19&gt;0,D19,C19)</f>
        <v>1.8171234130859375</v>
      </c>
      <c r="D20" s="42">
        <f t="shared" ref="D20:D21" si="10">(B20+C20)/2</f>
        <v>1.8171195983886719</v>
      </c>
      <c r="E20" s="42">
        <f t="shared" si="3"/>
        <v>-9.8507345605014507E-6</v>
      </c>
      <c r="F20" s="42">
        <f t="shared" si="4"/>
        <v>1.9073486328125E-6</v>
      </c>
    </row>
    <row r="21" spans="2:6" ht="15.75" thickBot="1" x14ac:dyDescent="0.3">
      <c r="B21" s="43">
        <f t="shared" si="8"/>
        <v>1.8171195983886719</v>
      </c>
      <c r="C21" s="43">
        <f t="shared" si="9"/>
        <v>1.8171234130859375</v>
      </c>
      <c r="D21" s="43">
        <f t="shared" si="10"/>
        <v>1.8171215057373047</v>
      </c>
      <c r="E21" s="43">
        <f t="shared" si="3"/>
        <v>9.0430438630662024E-6</v>
      </c>
      <c r="F21" s="43">
        <f t="shared" si="4"/>
        <v>1.8171215057373047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CD9B9-E828-4D60-B300-5551F5000907}">
  <dimension ref="B1:D12"/>
  <sheetViews>
    <sheetView tabSelected="1" zoomScale="115" zoomScaleNormal="115" workbookViewId="0">
      <selection activeCell="J15" sqref="J15"/>
    </sheetView>
  </sheetViews>
  <sheetFormatPr defaultRowHeight="15" x14ac:dyDescent="0.25"/>
  <sheetData>
    <row r="1" spans="2:4" ht="15.75" thickBot="1" x14ac:dyDescent="0.3"/>
    <row r="2" spans="2:4" ht="18.75" thickBot="1" x14ac:dyDescent="0.4">
      <c r="B2" s="39" t="s">
        <v>26</v>
      </c>
      <c r="C2" s="44" t="s">
        <v>27</v>
      </c>
      <c r="D2" s="44" t="s">
        <v>16</v>
      </c>
    </row>
    <row r="3" spans="2:4" x14ac:dyDescent="0.25">
      <c r="B3" s="52"/>
      <c r="C3" s="53"/>
      <c r="D3" s="54"/>
    </row>
    <row r="4" spans="2:4" x14ac:dyDescent="0.25">
      <c r="B4" s="55"/>
      <c r="C4" s="46"/>
      <c r="D4" s="56"/>
    </row>
    <row r="5" spans="2:4" x14ac:dyDescent="0.25">
      <c r="B5" s="55"/>
      <c r="C5" s="46"/>
      <c r="D5" s="56"/>
    </row>
    <row r="6" spans="2:4" x14ac:dyDescent="0.25">
      <c r="B6" s="55"/>
      <c r="C6" s="46"/>
      <c r="D6" s="56"/>
    </row>
    <row r="7" spans="2:4" x14ac:dyDescent="0.25">
      <c r="B7" s="55"/>
      <c r="C7" s="46"/>
      <c r="D7" s="56"/>
    </row>
    <row r="8" spans="2:4" x14ac:dyDescent="0.25">
      <c r="B8" s="55"/>
      <c r="C8" s="46"/>
      <c r="D8" s="56"/>
    </row>
    <row r="9" spans="2:4" x14ac:dyDescent="0.25">
      <c r="B9" s="55"/>
      <c r="C9" s="46"/>
      <c r="D9" s="56"/>
    </row>
    <row r="10" spans="2:4" x14ac:dyDescent="0.25">
      <c r="B10" s="55"/>
      <c r="C10" s="46"/>
      <c r="D10" s="56"/>
    </row>
    <row r="11" spans="2:4" x14ac:dyDescent="0.25">
      <c r="B11" s="55"/>
      <c r="C11" s="46"/>
      <c r="D11" s="56"/>
    </row>
    <row r="12" spans="2:4" ht="15.75" thickBot="1" x14ac:dyDescent="0.3">
      <c r="B12" s="57"/>
      <c r="C12" s="58"/>
      <c r="D12" s="5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59860-5136-4454-B7C7-433E513AEB69}">
  <dimension ref="B1:H17"/>
  <sheetViews>
    <sheetView zoomScale="115" zoomScaleNormal="115" workbookViewId="0">
      <selection activeCell="E2" sqref="E2"/>
    </sheetView>
  </sheetViews>
  <sheetFormatPr defaultRowHeight="15" x14ac:dyDescent="0.25"/>
  <cols>
    <col min="3" max="4" width="13.42578125" bestFit="1" customWidth="1"/>
    <col min="5" max="5" width="13.28515625" customWidth="1"/>
    <col min="6" max="6" width="12.5703125" bestFit="1" customWidth="1"/>
    <col min="7" max="7" width="15.28515625" bestFit="1" customWidth="1"/>
    <col min="8" max="8" width="12.140625" customWidth="1"/>
    <col min="9" max="9" width="10.140625" bestFit="1" customWidth="1"/>
  </cols>
  <sheetData>
    <row r="1" spans="2:8" ht="15.75" thickBot="1" x14ac:dyDescent="0.3"/>
    <row r="2" spans="2:8" ht="15.75" thickBot="1" x14ac:dyDescent="0.3">
      <c r="B2" s="39" t="s">
        <v>15</v>
      </c>
      <c r="C2" s="45" t="s">
        <v>13</v>
      </c>
      <c r="D2" s="40" t="s">
        <v>14</v>
      </c>
      <c r="E2" s="44" t="s">
        <v>16</v>
      </c>
      <c r="G2" s="20" t="s">
        <v>12</v>
      </c>
      <c r="H2" s="37">
        <v>9.9999999999999995E-7</v>
      </c>
    </row>
    <row r="3" spans="2:8" ht="15.75" thickBot="1" x14ac:dyDescent="0.3">
      <c r="B3" s="33">
        <v>2</v>
      </c>
      <c r="C3" s="33">
        <f>POWER(EXP(1),B3)-6</f>
        <v>1.3890560989306495</v>
      </c>
      <c r="D3" s="33">
        <f>POWER(EXP(1),B3)</f>
        <v>7.3890560989306495</v>
      </c>
      <c r="E3" s="47">
        <f>B3-0</f>
        <v>2</v>
      </c>
    </row>
    <row r="4" spans="2:8" ht="15.75" thickBot="1" x14ac:dyDescent="0.3">
      <c r="B4" s="33">
        <f>B3-C3/D3</f>
        <v>1.8120116994196762</v>
      </c>
      <c r="C4" s="33">
        <f t="shared" ref="C4:C17" si="0">POWER(EXP(1),B4)-6</f>
        <v>0.12275218836967028</v>
      </c>
      <c r="D4" s="33">
        <f t="shared" ref="D4:D17" si="1">POWER(EXP(1),B4)</f>
        <v>6.1227521883696703</v>
      </c>
      <c r="E4" s="47">
        <f>ABS(C3-C4)</f>
        <v>1.2663039105609792</v>
      </c>
      <c r="G4" s="20" t="s">
        <v>17</v>
      </c>
      <c r="H4" s="37" t="str">
        <f>IF(MIN(E3:E17)&lt;H2,"SI","NO")</f>
        <v>SI</v>
      </c>
    </row>
    <row r="5" spans="2:8" ht="15.75" thickBot="1" x14ac:dyDescent="0.3">
      <c r="B5" s="33">
        <f t="shared" ref="B5:B17" si="2">B4-C4/D4</f>
        <v>1.791963168204769</v>
      </c>
      <c r="C5" s="33">
        <f t="shared" si="0"/>
        <v>1.2223183485557954E-3</v>
      </c>
      <c r="D5" s="33">
        <f t="shared" si="1"/>
        <v>6.0012223183485558</v>
      </c>
      <c r="E5" s="47">
        <f t="shared" ref="E5:E17" si="3">ABS(C4-C5)</f>
        <v>0.12152987002111448</v>
      </c>
    </row>
    <row r="6" spans="2:8" ht="15.75" thickBot="1" x14ac:dyDescent="0.3">
      <c r="B6" s="33">
        <f t="shared" si="2"/>
        <v>1.7917594899732829</v>
      </c>
      <c r="C6" s="33">
        <f t="shared" si="0"/>
        <v>1.2447136921167612E-7</v>
      </c>
      <c r="D6" s="33">
        <f t="shared" si="1"/>
        <v>6.0000001244713692</v>
      </c>
      <c r="E6" s="47">
        <f t="shared" si="3"/>
        <v>1.2221938771865837E-3</v>
      </c>
      <c r="G6" s="20" t="s">
        <v>18</v>
      </c>
      <c r="H6" s="37">
        <f>COUNTIF(C4:C17, "&gt;0")</f>
        <v>3</v>
      </c>
    </row>
    <row r="7" spans="2:8" ht="15.75" thickBot="1" x14ac:dyDescent="0.3">
      <c r="B7" s="33">
        <f t="shared" si="2"/>
        <v>1.7917594692280552</v>
      </c>
      <c r="C7" s="33">
        <f t="shared" si="0"/>
        <v>0</v>
      </c>
      <c r="D7" s="33">
        <f t="shared" si="1"/>
        <v>6.0000000000000009</v>
      </c>
      <c r="E7" s="47">
        <f t="shared" si="3"/>
        <v>1.2447136921167612E-7</v>
      </c>
    </row>
    <row r="8" spans="2:8" ht="15.75" thickBot="1" x14ac:dyDescent="0.3">
      <c r="B8" s="33">
        <f t="shared" si="2"/>
        <v>1.7917594692280552</v>
      </c>
      <c r="C8" s="33">
        <f t="shared" si="0"/>
        <v>0</v>
      </c>
      <c r="D8" s="33">
        <f t="shared" si="1"/>
        <v>6.0000000000000009</v>
      </c>
      <c r="E8" s="47">
        <f t="shared" si="3"/>
        <v>0</v>
      </c>
    </row>
    <row r="9" spans="2:8" ht="15.75" thickBot="1" x14ac:dyDescent="0.3">
      <c r="B9" s="33">
        <f t="shared" si="2"/>
        <v>1.7917594692280552</v>
      </c>
      <c r="C9" s="33">
        <f t="shared" si="0"/>
        <v>0</v>
      </c>
      <c r="D9" s="33">
        <f t="shared" si="1"/>
        <v>6.0000000000000009</v>
      </c>
      <c r="E9" s="47">
        <f t="shared" si="3"/>
        <v>0</v>
      </c>
    </row>
    <row r="10" spans="2:8" ht="15.75" thickBot="1" x14ac:dyDescent="0.3">
      <c r="B10" s="33">
        <f t="shared" si="2"/>
        <v>1.7917594692280552</v>
      </c>
      <c r="C10" s="33">
        <f t="shared" si="0"/>
        <v>0</v>
      </c>
      <c r="D10" s="33">
        <f t="shared" si="1"/>
        <v>6.0000000000000009</v>
      </c>
      <c r="E10" s="47">
        <f t="shared" si="3"/>
        <v>0</v>
      </c>
    </row>
    <row r="11" spans="2:8" ht="15.75" thickBot="1" x14ac:dyDescent="0.3">
      <c r="B11" s="33">
        <f t="shared" si="2"/>
        <v>1.7917594692280552</v>
      </c>
      <c r="C11" s="33">
        <f t="shared" si="0"/>
        <v>0</v>
      </c>
      <c r="D11" s="33">
        <f t="shared" si="1"/>
        <v>6.0000000000000009</v>
      </c>
      <c r="E11" s="47">
        <f t="shared" si="3"/>
        <v>0</v>
      </c>
    </row>
    <row r="12" spans="2:8" ht="15.75" thickBot="1" x14ac:dyDescent="0.3">
      <c r="B12" s="33">
        <f t="shared" si="2"/>
        <v>1.7917594692280552</v>
      </c>
      <c r="C12" s="33">
        <f t="shared" si="0"/>
        <v>0</v>
      </c>
      <c r="D12" s="33">
        <f t="shared" si="1"/>
        <v>6.0000000000000009</v>
      </c>
      <c r="E12" s="47">
        <f t="shared" si="3"/>
        <v>0</v>
      </c>
    </row>
    <row r="13" spans="2:8" ht="15.75" thickBot="1" x14ac:dyDescent="0.3">
      <c r="B13" s="33">
        <f t="shared" si="2"/>
        <v>1.7917594692280552</v>
      </c>
      <c r="C13" s="33">
        <f t="shared" si="0"/>
        <v>0</v>
      </c>
      <c r="D13" s="33">
        <f t="shared" si="1"/>
        <v>6.0000000000000009</v>
      </c>
      <c r="E13" s="47">
        <f t="shared" si="3"/>
        <v>0</v>
      </c>
    </row>
    <row r="14" spans="2:8" ht="15.75" thickBot="1" x14ac:dyDescent="0.3">
      <c r="B14" s="33">
        <f t="shared" si="2"/>
        <v>1.7917594692280552</v>
      </c>
      <c r="C14" s="33">
        <f t="shared" si="0"/>
        <v>0</v>
      </c>
      <c r="D14" s="33">
        <f t="shared" si="1"/>
        <v>6.0000000000000009</v>
      </c>
      <c r="E14" s="47">
        <f t="shared" si="3"/>
        <v>0</v>
      </c>
    </row>
    <row r="15" spans="2:8" ht="15.75" thickBot="1" x14ac:dyDescent="0.3">
      <c r="B15" s="33">
        <f t="shared" si="2"/>
        <v>1.7917594692280552</v>
      </c>
      <c r="C15" s="33">
        <f t="shared" si="0"/>
        <v>0</v>
      </c>
      <c r="D15" s="33">
        <f t="shared" si="1"/>
        <v>6.0000000000000009</v>
      </c>
      <c r="E15" s="47">
        <f t="shared" si="3"/>
        <v>0</v>
      </c>
    </row>
    <row r="16" spans="2:8" ht="15.75" thickBot="1" x14ac:dyDescent="0.3">
      <c r="B16" s="33">
        <f t="shared" si="2"/>
        <v>1.7917594692280552</v>
      </c>
      <c r="C16" s="33">
        <f t="shared" si="0"/>
        <v>0</v>
      </c>
      <c r="D16" s="33">
        <f t="shared" si="1"/>
        <v>6.0000000000000009</v>
      </c>
      <c r="E16" s="47">
        <f t="shared" si="3"/>
        <v>0</v>
      </c>
    </row>
    <row r="17" spans="2:5" ht="15.75" thickBot="1" x14ac:dyDescent="0.3">
      <c r="B17" s="33">
        <f t="shared" si="2"/>
        <v>1.7917594692280552</v>
      </c>
      <c r="C17" s="33">
        <f t="shared" si="0"/>
        <v>0</v>
      </c>
      <c r="D17" s="33">
        <f t="shared" si="1"/>
        <v>6.0000000000000009</v>
      </c>
      <c r="E17" s="47">
        <f t="shared" si="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D99E-2720-4ACD-B9FA-1AD61E35B95B}">
  <dimension ref="B1:H17"/>
  <sheetViews>
    <sheetView zoomScale="115" zoomScaleNormal="115" workbookViewId="0">
      <selection activeCell="E2" sqref="E2"/>
    </sheetView>
  </sheetViews>
  <sheetFormatPr defaultRowHeight="15" x14ac:dyDescent="0.25"/>
  <cols>
    <col min="2" max="4" width="12.5703125" bestFit="1" customWidth="1"/>
    <col min="6" max="7" width="15.42578125" bestFit="1" customWidth="1"/>
    <col min="8" max="8" width="11.5703125" bestFit="1" customWidth="1"/>
  </cols>
  <sheetData>
    <row r="1" spans="2:8" ht="15.75" thickBot="1" x14ac:dyDescent="0.3"/>
    <row r="2" spans="2:8" ht="18.75" thickBot="1" x14ac:dyDescent="0.4">
      <c r="C2" s="39" t="s">
        <v>15</v>
      </c>
      <c r="D2" s="45" t="s">
        <v>13</v>
      </c>
      <c r="E2" s="44" t="s">
        <v>16</v>
      </c>
      <c r="G2" s="20" t="s">
        <v>12</v>
      </c>
      <c r="H2" s="37">
        <v>1E-8</v>
      </c>
    </row>
    <row r="3" spans="2:8" ht="18.75" thickBot="1" x14ac:dyDescent="0.4">
      <c r="B3" s="39" t="s">
        <v>20</v>
      </c>
      <c r="C3" s="48">
        <v>1</v>
      </c>
      <c r="D3" s="49">
        <f>POWER(EXP(1),C3)-6</f>
        <v>-3.2817181715409549</v>
      </c>
      <c r="E3" s="33" t="s">
        <v>21</v>
      </c>
    </row>
    <row r="4" spans="2:8" ht="18.75" thickBot="1" x14ac:dyDescent="0.4">
      <c r="B4" s="39" t="s">
        <v>19</v>
      </c>
      <c r="C4" s="48">
        <v>2</v>
      </c>
      <c r="D4" s="49">
        <f>POWER(EXP(1),C4)-6</f>
        <v>1.3890560989306495</v>
      </c>
      <c r="E4" s="33">
        <f>ABS(D3-D4)</f>
        <v>4.670774270471604</v>
      </c>
      <c r="G4" s="20" t="s">
        <v>17</v>
      </c>
      <c r="H4" s="37" t="str">
        <f>IF(MIN(D3:D17)&lt;H2,"SI","NO")</f>
        <v>SI</v>
      </c>
    </row>
    <row r="5" spans="2:8" ht="15.75" thickBot="1" x14ac:dyDescent="0.3">
      <c r="C5" s="33">
        <f>C4-(D4*((C4-C3)/(D4-D3)))</f>
        <v>1.7026068873179783</v>
      </c>
      <c r="D5" s="49">
        <f t="shared" ref="D5:D17" si="0">POWER(EXP(1),C5)-6</f>
        <v>-0.5117640279705693</v>
      </c>
      <c r="E5" s="33">
        <f t="shared" ref="E5:E17" si="1">ABS(D4-D5)</f>
        <v>1.9008201269012188</v>
      </c>
    </row>
    <row r="6" spans="2:8" ht="15.75" thickBot="1" x14ac:dyDescent="0.3">
      <c r="C6" s="33">
        <f t="shared" ref="C6:C17" si="2">C5-(D5*((C5-C4)/(D5-D4)))</f>
        <v>1.7826750090107817</v>
      </c>
      <c r="D6" s="49">
        <f t="shared" si="0"/>
        <v>-5.4259927068757818E-2</v>
      </c>
      <c r="E6" s="33">
        <f t="shared" si="1"/>
        <v>0.45750410090181148</v>
      </c>
      <c r="G6" s="20" t="s">
        <v>18</v>
      </c>
      <c r="H6" s="37">
        <f>COUNTIF(D3:D17, "&lt;0")+COUNTIF(D3:D17, "&gt;0")</f>
        <v>7</v>
      </c>
    </row>
    <row r="7" spans="2:8" ht="15.75" thickBot="1" x14ac:dyDescent="0.3">
      <c r="C7" s="33">
        <f t="shared" si="2"/>
        <v>1.792171077865728</v>
      </c>
      <c r="D7" s="49">
        <f t="shared" si="0"/>
        <v>2.4701601607928225E-3</v>
      </c>
      <c r="E7" s="33">
        <f t="shared" si="1"/>
        <v>5.6730087229550641E-2</v>
      </c>
    </row>
    <row r="8" spans="2:8" ht="15.75" thickBot="1" x14ac:dyDescent="0.3">
      <c r="C8" s="33">
        <f t="shared" si="2"/>
        <v>1.7917575969050039</v>
      </c>
      <c r="D8" s="49">
        <f t="shared" si="0"/>
        <v>-1.1233927789788822E-5</v>
      </c>
      <c r="E8" s="33">
        <f t="shared" si="1"/>
        <v>2.4813940885826113E-3</v>
      </c>
    </row>
    <row r="9" spans="2:8" ht="15.75" thickBot="1" x14ac:dyDescent="0.3">
      <c r="C9" s="33">
        <f t="shared" si="2"/>
        <v>1.7917594688427492</v>
      </c>
      <c r="D9" s="49">
        <f t="shared" si="0"/>
        <v>-2.3118351677453575E-9</v>
      </c>
      <c r="E9" s="33">
        <f t="shared" si="1"/>
        <v>1.1231615954621077E-5</v>
      </c>
    </row>
    <row r="10" spans="2:8" ht="15.75" thickBot="1" x14ac:dyDescent="0.3">
      <c r="C10" s="33">
        <f t="shared" si="2"/>
        <v>1.7917594692280554</v>
      </c>
      <c r="D10" s="49">
        <f t="shared" si="0"/>
        <v>0</v>
      </c>
      <c r="E10" s="33">
        <f t="shared" si="1"/>
        <v>2.3118351677453575E-9</v>
      </c>
    </row>
    <row r="11" spans="2:8" ht="15.75" thickBot="1" x14ac:dyDescent="0.3">
      <c r="C11" s="33">
        <f t="shared" si="2"/>
        <v>1.7917594692280554</v>
      </c>
      <c r="D11" s="49">
        <f t="shared" si="0"/>
        <v>0</v>
      </c>
      <c r="E11" s="33">
        <f t="shared" si="1"/>
        <v>0</v>
      </c>
    </row>
    <row r="12" spans="2:8" ht="15.75" thickBot="1" x14ac:dyDescent="0.3">
      <c r="C12" s="33"/>
      <c r="D12" s="49"/>
      <c r="E12" s="33"/>
    </row>
    <row r="13" spans="2:8" ht="15.75" thickBot="1" x14ac:dyDescent="0.3">
      <c r="C13" s="33"/>
      <c r="D13" s="49"/>
      <c r="E13" s="33"/>
    </row>
    <row r="14" spans="2:8" ht="15.75" thickBot="1" x14ac:dyDescent="0.3">
      <c r="C14" s="33"/>
      <c r="D14" s="49"/>
      <c r="E14" s="33"/>
    </row>
    <row r="15" spans="2:8" ht="15.75" thickBot="1" x14ac:dyDescent="0.3">
      <c r="C15" s="33"/>
      <c r="D15" s="49"/>
      <c r="E15" s="33"/>
    </row>
    <row r="16" spans="2:8" ht="15.75" thickBot="1" x14ac:dyDescent="0.3">
      <c r="C16" s="33"/>
      <c r="D16" s="49"/>
      <c r="E16" s="33"/>
    </row>
    <row r="17" spans="3:5" ht="15.75" thickBot="1" x14ac:dyDescent="0.3">
      <c r="C17" s="33"/>
      <c r="D17" s="49"/>
      <c r="E17" s="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F256D-555F-44A9-8D26-724F368A9871}">
  <sheetPr codeName="Hoja1"/>
  <dimension ref="A1:O15"/>
  <sheetViews>
    <sheetView zoomScale="115" zoomScaleNormal="115" workbookViewId="0">
      <selection activeCell="D22" sqref="D22"/>
    </sheetView>
  </sheetViews>
  <sheetFormatPr defaultColWidth="11.42578125" defaultRowHeight="15" x14ac:dyDescent="0.25"/>
  <cols>
    <col min="2" max="3" width="12.42578125" bestFit="1" customWidth="1"/>
    <col min="7" max="7" width="11.5703125" customWidth="1"/>
  </cols>
  <sheetData>
    <row r="1" spans="1:15" ht="18.75" customHeight="1" thickBot="1" x14ac:dyDescent="0.3">
      <c r="A1" t="s">
        <v>0</v>
      </c>
    </row>
    <row r="2" spans="1:15" ht="18.75" customHeight="1" thickBot="1" x14ac:dyDescent="0.3">
      <c r="B2" s="21" t="s">
        <v>1</v>
      </c>
      <c r="C2" s="22" t="s">
        <v>2</v>
      </c>
      <c r="D2" s="1"/>
      <c r="E2" s="2" t="str">
        <f>IF(COUNT(B:B)=2,1,"")</f>
        <v/>
      </c>
      <c r="F2" s="3" t="str">
        <f>IF(COUNT(B:B)=2,B3,"")</f>
        <v/>
      </c>
      <c r="G2" s="8"/>
      <c r="H2" s="8"/>
      <c r="I2" s="1"/>
      <c r="J2" s="4" t="str">
        <f>IF(COUNT(B:B)=2,C3,"")</f>
        <v/>
      </c>
      <c r="K2" s="1"/>
      <c r="L2" s="2" t="str" cm="1">
        <f t="array" ref="L2">IF(E2="","",MINVERSE(E2:F3))</f>
        <v/>
      </c>
      <c r="M2" s="3"/>
      <c r="N2" s="1"/>
      <c r="O2" s="1"/>
    </row>
    <row r="3" spans="1:15" ht="18.75" customHeight="1" thickBot="1" x14ac:dyDescent="0.3">
      <c r="B3" s="2"/>
      <c r="C3" s="4"/>
      <c r="D3" s="1"/>
      <c r="E3" s="5" t="str">
        <f>IF(COUNT(B:B)=2,1,"")</f>
        <v/>
      </c>
      <c r="F3" s="6" t="str">
        <f>IF(COUNT(B:B)=2,B4,"")</f>
        <v/>
      </c>
      <c r="G3" s="8"/>
      <c r="H3" s="8"/>
      <c r="I3" s="1"/>
      <c r="J3" s="7" t="str">
        <f>IF(COUNT(B:B)=2,C4,"")</f>
        <v/>
      </c>
      <c r="K3" s="1"/>
      <c r="L3" s="5"/>
      <c r="M3" s="6"/>
      <c r="N3" s="1"/>
      <c r="O3" s="1"/>
    </row>
    <row r="4" spans="1:15" ht="18.75" customHeight="1" thickBot="1" x14ac:dyDescent="0.3">
      <c r="B4" s="10"/>
      <c r="C4" s="12"/>
      <c r="D4" s="1"/>
      <c r="E4" s="8"/>
      <c r="F4" s="8"/>
      <c r="G4" s="8"/>
      <c r="H4" s="8"/>
      <c r="I4" s="1"/>
      <c r="J4" s="8"/>
      <c r="K4" s="1"/>
      <c r="L4" s="1"/>
      <c r="M4" s="1"/>
      <c r="N4" s="1"/>
      <c r="O4" s="1"/>
    </row>
    <row r="5" spans="1:15" ht="18.75" customHeight="1" x14ac:dyDescent="0.25">
      <c r="B5" s="23"/>
      <c r="C5" s="12"/>
      <c r="D5" s="1"/>
      <c r="E5" s="2" t="str">
        <f>IF(COUNT(B:B)=3,1,"")</f>
        <v/>
      </c>
      <c r="F5" s="9" t="str">
        <f>IF(COUNT(B:B)=3,B3,"")</f>
        <v/>
      </c>
      <c r="G5" s="3" t="str">
        <f t="shared" ref="G5:G12" si="0">IF(F5&lt;&gt;"",POWER(F5,2),"")</f>
        <v/>
      </c>
      <c r="H5" s="8"/>
      <c r="I5" s="1"/>
      <c r="J5" s="4" t="str">
        <f>IF(COUNT(B:B)=3,C3,"")</f>
        <v/>
      </c>
      <c r="K5" s="1"/>
      <c r="L5" s="2" t="str" cm="1">
        <f t="array" ref="L5">IF(E5="","",MINVERSE(E5:G7))</f>
        <v/>
      </c>
      <c r="M5" s="9"/>
      <c r="N5" s="3"/>
      <c r="O5" s="1"/>
    </row>
    <row r="6" spans="1:15" ht="18.75" customHeight="1" thickBot="1" x14ac:dyDescent="0.3">
      <c r="B6" s="5"/>
      <c r="C6" s="7"/>
      <c r="D6" s="1"/>
      <c r="E6" s="10" t="str">
        <f>IF(COUNT(B:B)=3,1,"")</f>
        <v/>
      </c>
      <c r="F6" s="8" t="str">
        <f>IF(COUNT(B:B)=3,B4,"")</f>
        <v/>
      </c>
      <c r="G6" s="11" t="str">
        <f t="shared" si="0"/>
        <v/>
      </c>
      <c r="H6" s="8"/>
      <c r="I6" s="1"/>
      <c r="J6" s="12" t="str">
        <f>IF(COUNT(B:B)=3,C4,"")</f>
        <v/>
      </c>
      <c r="K6" s="1"/>
      <c r="L6" s="10"/>
      <c r="M6" s="8"/>
      <c r="N6" s="11"/>
      <c r="O6" s="1"/>
    </row>
    <row r="7" spans="1:15" ht="18.75" customHeight="1" thickBot="1" x14ac:dyDescent="0.3">
      <c r="B7" s="1"/>
      <c r="C7" s="1"/>
      <c r="D7" s="1"/>
      <c r="E7" s="5" t="str">
        <f>IF(COUNT(B:B)=3,1,"")</f>
        <v/>
      </c>
      <c r="F7" s="13" t="str">
        <f>IF(COUNT(B:B)=3,B5,"")</f>
        <v/>
      </c>
      <c r="G7" s="6" t="str">
        <f t="shared" si="0"/>
        <v/>
      </c>
      <c r="H7" s="8"/>
      <c r="I7" s="1"/>
      <c r="J7" s="7" t="str">
        <f>IF(COUNT(B:B)=3,C5,"")</f>
        <v/>
      </c>
      <c r="K7" s="1"/>
      <c r="L7" s="5"/>
      <c r="M7" s="13"/>
      <c r="N7" s="6"/>
      <c r="O7" s="1"/>
    </row>
    <row r="8" spans="1:15" ht="18.75" customHeight="1" thickBot="1" x14ac:dyDescent="0.3">
      <c r="B8" s="50" t="s">
        <v>3</v>
      </c>
      <c r="C8" s="51"/>
      <c r="D8" s="1"/>
      <c r="E8" s="8"/>
      <c r="F8" s="8"/>
      <c r="G8" s="8"/>
      <c r="H8" s="8"/>
      <c r="I8" s="1"/>
      <c r="J8" s="8"/>
      <c r="K8" s="1"/>
      <c r="L8" s="1"/>
      <c r="M8" s="1"/>
      <c r="N8" s="1"/>
      <c r="O8" s="1"/>
    </row>
    <row r="9" spans="1:15" ht="18.75" customHeight="1" x14ac:dyDescent="0.25">
      <c r="B9" s="15" t="s">
        <v>4</v>
      </c>
      <c r="C9" s="4" t="str" cm="1">
        <f t="array" ref="C9">IF(L2="",IF(L5="",IF(L9="","",MMULT(L9:O12,J9:J12)),MMULT(L5:N7,J5:J7)),MMULT(L2:M3,J2:J3))</f>
        <v/>
      </c>
      <c r="D9" s="1"/>
      <c r="E9" s="2" t="str">
        <f>IF(COUNT(B:B)=4,1,"")</f>
        <v/>
      </c>
      <c r="F9" s="9" t="str">
        <f>IF(COUNT(B:B)=4,B3,"")</f>
        <v/>
      </c>
      <c r="G9" s="9" t="str">
        <f t="shared" si="0"/>
        <v/>
      </c>
      <c r="H9" s="3" t="str">
        <f t="shared" ref="H9:H12" si="1">IF(F9&lt;&gt;"",POWER(F9,3),"")</f>
        <v/>
      </c>
      <c r="I9" s="1"/>
      <c r="J9" s="4" t="str">
        <f>IF(COUNT(B:B)=4,C3,"")</f>
        <v/>
      </c>
      <c r="K9" s="1"/>
      <c r="L9" s="2" t="str" cm="1">
        <f t="array" ref="L9">IF(E9="","",MINVERSE(E9:H12))</f>
        <v/>
      </c>
      <c r="M9" s="9"/>
      <c r="N9" s="9"/>
      <c r="O9" s="3"/>
    </row>
    <row r="10" spans="1:15" ht="18.75" customHeight="1" x14ac:dyDescent="0.25">
      <c r="A10" s="14"/>
      <c r="B10" s="16" t="s">
        <v>5</v>
      </c>
      <c r="C10" s="12"/>
      <c r="D10" s="24"/>
      <c r="E10" s="10" t="str">
        <f>IF(COUNT(B:B)=4,1,"")</f>
        <v/>
      </c>
      <c r="F10" s="8" t="str">
        <f>IF(COUNT(B:B)=4,B4,"")</f>
        <v/>
      </c>
      <c r="G10" s="8" t="str">
        <f t="shared" si="0"/>
        <v/>
      </c>
      <c r="H10" s="11" t="str">
        <f t="shared" si="1"/>
        <v/>
      </c>
      <c r="I10" s="1"/>
      <c r="J10" s="12" t="str">
        <f>IF(COUNT(B:B)=4,C4,"")</f>
        <v/>
      </c>
      <c r="K10" s="1"/>
      <c r="L10" s="10"/>
      <c r="M10" s="8"/>
      <c r="N10" s="8"/>
      <c r="O10" s="11"/>
    </row>
    <row r="11" spans="1:15" ht="18.75" customHeight="1" x14ac:dyDescent="0.25">
      <c r="B11" s="16" t="s">
        <v>6</v>
      </c>
      <c r="C11" s="12"/>
      <c r="D11" s="1"/>
      <c r="E11" s="10" t="str">
        <f>IF(COUNT(B:B)=4,1,"")</f>
        <v/>
      </c>
      <c r="F11" s="8" t="str">
        <f>IF(COUNT(B:B)=4,B5,"")</f>
        <v/>
      </c>
      <c r="G11" s="8" t="str">
        <f t="shared" si="0"/>
        <v/>
      </c>
      <c r="H11" s="11" t="str">
        <f t="shared" si="1"/>
        <v/>
      </c>
      <c r="I11" s="1"/>
      <c r="J11" s="12" t="str">
        <f>IF(COUNT(B:B)=4,C5,"")</f>
        <v/>
      </c>
      <c r="K11" s="1"/>
      <c r="L11" s="10"/>
      <c r="M11" s="8"/>
      <c r="N11" s="8"/>
      <c r="O11" s="11"/>
    </row>
    <row r="12" spans="1:15" ht="18.75" customHeight="1" thickBot="1" x14ac:dyDescent="0.3">
      <c r="B12" s="17" t="s">
        <v>7</v>
      </c>
      <c r="C12" s="7"/>
      <c r="D12" s="1"/>
      <c r="E12" s="5" t="str">
        <f>IF(COUNT(B:B)=4,1,"")</f>
        <v/>
      </c>
      <c r="F12" s="13" t="str">
        <f>IF(COUNT(B:B)=4,B6,"")</f>
        <v/>
      </c>
      <c r="G12" s="13" t="str">
        <f t="shared" si="0"/>
        <v/>
      </c>
      <c r="H12" s="6" t="str">
        <f t="shared" si="1"/>
        <v/>
      </c>
      <c r="I12" s="1"/>
      <c r="J12" s="7" t="str">
        <f>IF(COUNT(B:B)=4,C6,"")</f>
        <v/>
      </c>
      <c r="K12" s="1"/>
      <c r="L12" s="5"/>
      <c r="M12" s="13"/>
      <c r="N12" s="13"/>
      <c r="O12" s="6"/>
    </row>
    <row r="13" spans="1:15" ht="18.75" customHeight="1" x14ac:dyDescent="0.25"/>
    <row r="14" spans="1:15" ht="15.75" thickBot="1" x14ac:dyDescent="0.3"/>
    <row r="15" spans="1:15" ht="15.75" thickBot="1" x14ac:dyDescent="0.3">
      <c r="F15" s="35" t="s">
        <v>10</v>
      </c>
      <c r="G15" s="36"/>
      <c r="I15" s="19"/>
      <c r="J15" s="20" t="s">
        <v>2</v>
      </c>
      <c r="K15" s="19"/>
      <c r="L15" s="19"/>
      <c r="M15" s="35" t="s">
        <v>11</v>
      </c>
      <c r="N15" s="36"/>
    </row>
  </sheetData>
  <mergeCells count="3">
    <mergeCell ref="F15:G15"/>
    <mergeCell ref="M15:N15"/>
    <mergeCell ref="B8:C8"/>
  </mergeCells>
  <phoneticPr fontId="3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1</xdr:col>
                    <xdr:colOff>400050</xdr:colOff>
                    <xdr:row>14</xdr:row>
                    <xdr:rowOff>0</xdr:rowOff>
                  </from>
                  <to>
                    <xdr:col>2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928B7-7B33-44C9-8134-96C260E02374}">
  <dimension ref="B1:G26"/>
  <sheetViews>
    <sheetView zoomScale="115" zoomScaleNormal="115" workbookViewId="0">
      <selection activeCell="D27" sqref="D27"/>
    </sheetView>
  </sheetViews>
  <sheetFormatPr defaultColWidth="11.42578125" defaultRowHeight="15" x14ac:dyDescent="0.25"/>
  <sheetData>
    <row r="1" spans="2:3" ht="15.75" thickBot="1" x14ac:dyDescent="0.3"/>
    <row r="2" spans="2:3" ht="15.75" thickBot="1" x14ac:dyDescent="0.3">
      <c r="B2" s="18" t="s">
        <v>1</v>
      </c>
      <c r="C2" s="20" t="s">
        <v>2</v>
      </c>
    </row>
    <row r="3" spans="2:3" x14ac:dyDescent="0.25">
      <c r="B3" s="26">
        <v>1</v>
      </c>
      <c r="C3" s="28">
        <v>2</v>
      </c>
    </row>
    <row r="4" spans="2:3" x14ac:dyDescent="0.25">
      <c r="B4" s="27">
        <v>8</v>
      </c>
      <c r="C4" s="29">
        <v>3</v>
      </c>
    </row>
    <row r="5" spans="2:3" x14ac:dyDescent="0.25">
      <c r="B5" s="27">
        <v>2</v>
      </c>
      <c r="C5" s="29">
        <v>4.5</v>
      </c>
    </row>
    <row r="6" spans="2:3" x14ac:dyDescent="0.25">
      <c r="B6" s="27">
        <v>3</v>
      </c>
      <c r="C6" s="29">
        <v>6</v>
      </c>
    </row>
    <row r="7" spans="2:3" x14ac:dyDescent="0.25">
      <c r="B7" s="27">
        <v>4</v>
      </c>
      <c r="C7" s="29">
        <v>7</v>
      </c>
    </row>
    <row r="8" spans="2:3" x14ac:dyDescent="0.25">
      <c r="B8" s="27">
        <v>5</v>
      </c>
      <c r="C8" s="29">
        <v>12</v>
      </c>
    </row>
    <row r="9" spans="2:3" x14ac:dyDescent="0.25">
      <c r="B9" s="27">
        <v>9</v>
      </c>
      <c r="C9" s="29">
        <v>10</v>
      </c>
    </row>
    <row r="10" spans="2:3" ht="15.75" thickBot="1" x14ac:dyDescent="0.3">
      <c r="B10" s="30">
        <v>1</v>
      </c>
      <c r="C10" s="31">
        <v>5</v>
      </c>
    </row>
    <row r="11" spans="2:3" ht="15.75" thickBot="1" x14ac:dyDescent="0.3">
      <c r="B11" s="25"/>
      <c r="C11" s="25"/>
    </row>
    <row r="12" spans="2:3" ht="15.75" thickBot="1" x14ac:dyDescent="0.3">
      <c r="B12" s="18" t="s">
        <v>8</v>
      </c>
      <c r="C12" s="20" t="s">
        <v>9</v>
      </c>
    </row>
    <row r="13" spans="2:3" ht="15.75" thickBot="1" x14ac:dyDescent="0.3">
      <c r="B13" s="32" cm="1">
        <f t="array" ref="B13:C13">LINEST(C3:C10,B3:B10,1,0)</f>
        <v>0.49036608863198455</v>
      </c>
      <c r="C13" s="33">
        <v>4.1647398843930636</v>
      </c>
    </row>
    <row r="26" spans="7:7" x14ac:dyDescent="0.25">
      <c r="G26" s="34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Bisección</vt:lpstr>
      <vt:lpstr>Punto Fijo</vt:lpstr>
      <vt:lpstr>Newton-Raphson</vt:lpstr>
      <vt:lpstr>Secante</vt:lpstr>
      <vt:lpstr>Interpolación de Lagrange</vt:lpstr>
      <vt:lpstr>Mínimos Cuadrados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</dc:creator>
  <cp:lastModifiedBy>Maximo Lucero Ruiz</cp:lastModifiedBy>
  <dcterms:created xsi:type="dcterms:W3CDTF">2022-09-22T20:24:09Z</dcterms:created>
  <dcterms:modified xsi:type="dcterms:W3CDTF">2022-09-23T02:23:39Z</dcterms:modified>
</cp:coreProperties>
</file>